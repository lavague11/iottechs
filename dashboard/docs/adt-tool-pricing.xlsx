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" sheetId="1" state="visible" r:id="rId3"/>
    <sheet name="By Category" sheetId="2" state="visible" r:id="rId4"/>
    <sheet name="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<sst xmlns="http://schemas.openxmlformats.org/spreadsheetml/2006/main" count="240" uniqueCount="156">
  <si>
    <t xml:space="preserve">ADT TOOL  ·  EQUIPMENT PRICING</t>
  </si>
  <si>
    <t xml:space="preserve">Blue cells are inputs — part cost, labor, and retail. Total cost, margin, and margin % calculate. These are the same numbers the ADT Tool loads.</t>
  </si>
  <si>
    <t xml:space="preserve">Retail marked "derived" has no price on the ADT Primary Command sheet; the tool prices it at cost + 30%, rounded to the dollar.</t>
  </si>
  <si>
    <t xml:space="preserve">Category</t>
  </si>
  <si>
    <t xml:space="preserve">Item</t>
  </si>
  <si>
    <t xml:space="preserve">Part #</t>
  </si>
  <si>
    <t xml:space="preserve">Part Cost</t>
  </si>
  <si>
    <t xml:space="preserve">Labor</t>
  </si>
  <si>
    <t xml:space="preserve">Total Cost</t>
  </si>
  <si>
    <t xml:space="preserve">Retail</t>
  </si>
  <si>
    <t xml:space="preserve">Margin $</t>
  </si>
  <si>
    <t xml:space="preserve">Margin %</t>
  </si>
  <si>
    <t xml:space="preserve">Retail source</t>
  </si>
  <si>
    <t xml:space="preserve">Panels</t>
  </si>
  <si>
    <t xml:space="preserve">5in Screen</t>
  </si>
  <si>
    <t xml:space="preserve">ADT5AIO-4 + ADTLTE-V3</t>
  </si>
  <si>
    <t xml:space="preserve">ADT sheet</t>
  </si>
  <si>
    <t xml:space="preserve">7in Screen</t>
  </si>
  <si>
    <t xml:space="preserve">ADT7AIO-4 + ADTLTE-V3</t>
  </si>
  <si>
    <t xml:space="preserve">Hybrid Panel</t>
  </si>
  <si>
    <t xml:space="preserve">ADTHYBWL-2</t>
  </si>
  <si>
    <t xml:space="preserve">derived · cost +30%</t>
  </si>
  <si>
    <t xml:space="preserve">AT&amp;T Radio</t>
  </si>
  <si>
    <t xml:space="preserve">ADTLTE-A3</t>
  </si>
  <si>
    <t xml:space="preserve">8-Zone Converter</t>
  </si>
  <si>
    <t xml:space="preserve">SIXC2WA</t>
  </si>
  <si>
    <t xml:space="preserve">Wireless Converter</t>
  </si>
  <si>
    <t xml:space="preserve">ADTCONVERT</t>
  </si>
  <si>
    <t xml:space="preserve">Wi-Fi Extender</t>
  </si>
  <si>
    <t xml:space="preserve">RE305</t>
  </si>
  <si>
    <t xml:space="preserve">Sensors</t>
  </si>
  <si>
    <t xml:space="preserve">Door Sensor</t>
  </si>
  <si>
    <t xml:space="preserve">SIXCTA</t>
  </si>
  <si>
    <t xml:space="preserve">Motion</t>
  </si>
  <si>
    <t xml:space="preserve">SIXPIRA</t>
  </si>
  <si>
    <t xml:space="preserve">Glassbreak</t>
  </si>
  <si>
    <t xml:space="preserve">SIXGBA</t>
  </si>
  <si>
    <t xml:space="preserve">Shock Sensor</t>
  </si>
  <si>
    <t xml:space="preserve">SIXSHOCK2A</t>
  </si>
  <si>
    <t xml:space="preserve">Life Safety</t>
  </si>
  <si>
    <t xml:space="preserve">Smoke</t>
  </si>
  <si>
    <t xml:space="preserve">SIXSMOKEA</t>
  </si>
  <si>
    <t xml:space="preserve">Carbon Monoxide</t>
  </si>
  <si>
    <t xml:space="preserve">SIXCOA</t>
  </si>
  <si>
    <t xml:space="preserve">Smoke + CO</t>
  </si>
  <si>
    <t xml:space="preserve">SIXCOMBOVA</t>
  </si>
  <si>
    <t xml:space="preserve">Flood</t>
  </si>
  <si>
    <t xml:space="preserve">SIXFLOODA</t>
  </si>
  <si>
    <t xml:space="preserve">Keypads</t>
  </si>
  <si>
    <t xml:space="preserve">Touchscreen</t>
  </si>
  <si>
    <t xml:space="preserve">WTS700</t>
  </si>
  <si>
    <t xml:space="preserve">Wireless Keypad</t>
  </si>
  <si>
    <t xml:space="preserve">WLTP100</t>
  </si>
  <si>
    <t xml:space="preserve">Wired Keypad</t>
  </si>
  <si>
    <t xml:space="preserve">WTP100</t>
  </si>
  <si>
    <t xml:space="preserve">Desk Mount, panel</t>
  </si>
  <si>
    <t xml:space="preserve">DESKMT-AIO</t>
  </si>
  <si>
    <t xml:space="preserve">Desk Mount, screen</t>
  </si>
  <si>
    <t xml:space="preserve">DESKMT-WTS</t>
  </si>
  <si>
    <t xml:space="preserve">Desk Mount, keypad</t>
  </si>
  <si>
    <t xml:space="preserve">DESKMT-WLTP</t>
  </si>
  <si>
    <t xml:space="preserve">Wall Mount</t>
  </si>
  <si>
    <t xml:space="preserve">WALLMT-WTS2</t>
  </si>
  <si>
    <t xml:space="preserve">Cameras</t>
  </si>
  <si>
    <t xml:space="preserve">Nest Doorbell</t>
  </si>
  <si>
    <t xml:space="preserve">GA02268-US</t>
  </si>
  <si>
    <t xml:space="preserve">Nest Doorbell, battery</t>
  </si>
  <si>
    <t xml:space="preserve">GA02076-US</t>
  </si>
  <si>
    <t xml:space="preserve">Nest Outdoor Cam</t>
  </si>
  <si>
    <t xml:space="preserve">GA01317-US</t>
  </si>
  <si>
    <t xml:space="preserve">Nest Indoor Cam</t>
  </si>
  <si>
    <t xml:space="preserve">GA01998-US</t>
  </si>
  <si>
    <t xml:space="preserve">ADT Outdoor Cam</t>
  </si>
  <si>
    <t xml:space="preserve">N8-OC845</t>
  </si>
  <si>
    <t xml:space="preserve">ADT Indoor Cam</t>
  </si>
  <si>
    <t xml:space="preserve">N8-RC845</t>
  </si>
  <si>
    <t xml:space="preserve">Smart Home</t>
  </si>
  <si>
    <t xml:space="preserve">Nest Thermostat</t>
  </si>
  <si>
    <t xml:space="preserve">GA01334-US</t>
  </si>
  <si>
    <t xml:space="preserve">ADT Thermostat</t>
  </si>
  <si>
    <t xml:space="preserve">LA-T2RCADT</t>
  </si>
  <si>
    <t xml:space="preserve">Door Lock</t>
  </si>
  <si>
    <t xml:space="preserve">KT-98930001</t>
  </si>
  <si>
    <t xml:space="preserve">Garage Opener</t>
  </si>
  <si>
    <t xml:space="preserve">LN-GD00Z8ADT</t>
  </si>
  <si>
    <t xml:space="preserve">Nest Hub</t>
  </si>
  <si>
    <t xml:space="preserve">GA01331-US</t>
  </si>
  <si>
    <t xml:space="preserve">Nest Mini</t>
  </si>
  <si>
    <t xml:space="preserve">GA00638-US</t>
  </si>
  <si>
    <t xml:space="preserve">Smart Plug</t>
  </si>
  <si>
    <t xml:space="preserve">Z5SWPID</t>
  </si>
  <si>
    <t xml:space="preserve">Smart Bulb</t>
  </si>
  <si>
    <t xml:space="preserve">76609</t>
  </si>
  <si>
    <t xml:space="preserve">Lamp Module</t>
  </si>
  <si>
    <t xml:space="preserve">JS-28170</t>
  </si>
  <si>
    <t xml:space="preserve">Misc</t>
  </si>
  <si>
    <t xml:space="preserve">Key Fob</t>
  </si>
  <si>
    <t xml:space="preserve">SIXFOB2A</t>
  </si>
  <si>
    <t xml:space="preserve">Indoor Siren</t>
  </si>
  <si>
    <t xml:space="preserve">SIXSIRENA</t>
  </si>
  <si>
    <t xml:space="preserve">Outdoor Siren</t>
  </si>
  <si>
    <t xml:space="preserve">SIXSIREN-ODA</t>
  </si>
  <si>
    <t xml:space="preserve">Command Labor</t>
  </si>
  <si>
    <t xml:space="preserve">—</t>
  </si>
  <si>
    <t xml:space="preserve">TOTALS</t>
  </si>
  <si>
    <t xml:space="preserve">COST &amp; MARGIN BY CATEGORY</t>
  </si>
  <si>
    <t xml:space="preserve">Items</t>
  </si>
  <si>
    <t xml:space="preserve">Total Retail</t>
  </si>
  <si>
    <t xml:space="preserve">Margin</t>
  </si>
  <si>
    <t xml:space="preserve">ALL CATEGORIES</t>
  </si>
  <si>
    <t xml:space="preserve">FUNDING MODEL  ·  REFERENCE</t>
  </si>
  <si>
    <t xml:space="preserve">CREDIT TIERS</t>
  </si>
  <si>
    <t xml:space="preserve">Tier</t>
  </si>
  <si>
    <t xml:space="preserve">Score</t>
  </si>
  <si>
    <t xml:space="preserve">Multiple</t>
  </si>
  <si>
    <t xml:space="preserve">Attrition</t>
  </si>
  <si>
    <t xml:space="preserve">A+</t>
  </si>
  <si>
    <t xml:space="preserve">795+</t>
  </si>
  <si>
    <t xml:space="preserve">A</t>
  </si>
  <si>
    <t xml:space="preserve">760-794</t>
  </si>
  <si>
    <t xml:space="preserve">B</t>
  </si>
  <si>
    <t xml:space="preserve">705-759</t>
  </si>
  <si>
    <t xml:space="preserve">B-</t>
  </si>
  <si>
    <t xml:space="preserve">665-704</t>
  </si>
  <si>
    <t xml:space="preserve">D</t>
  </si>
  <si>
    <t xml:space="preserve">640-664</t>
  </si>
  <si>
    <t xml:space="preserve">E</t>
  </si>
  <si>
    <t xml:space="preserve">600-639</t>
  </si>
  <si>
    <t xml:space="preserve">Commercial</t>
  </si>
  <si>
    <t xml:space="preserve">SERVICE PACKAGES</t>
  </si>
  <si>
    <t xml:space="preserve">Package</t>
  </si>
  <si>
    <t xml:space="preserve">Cost of service</t>
  </si>
  <si>
    <t xml:space="preserve">Standard rate</t>
  </si>
  <si>
    <t xml:space="preserve">Fundable band</t>
  </si>
  <si>
    <t xml:space="preserve">Basic w/o app control</t>
  </si>
  <si>
    <t xml:space="preserve">$42.99 – $53.99</t>
  </si>
  <si>
    <t xml:space="preserve">Basic w/ app control</t>
  </si>
  <si>
    <t xml:space="preserve">Basic + smart/video</t>
  </si>
  <si>
    <t xml:space="preserve">$51.99 – $74.99</t>
  </si>
  <si>
    <t xml:space="preserve">Basic + smart/video + Nest Aware Plus</t>
  </si>
  <si>
    <t xml:space="preserve">$58.99 – $81.99</t>
  </si>
  <si>
    <t xml:space="preserve">FEES</t>
  </si>
  <si>
    <t xml:space="preserve">Activation (customer pays)</t>
  </si>
  <si>
    <t xml:space="preserve">Admin fee (deducted)</t>
  </si>
  <si>
    <t xml:space="preserve">Merchant fee</t>
  </si>
  <si>
    <t xml:space="preserve">ADC fee</t>
  </si>
  <si>
    <t xml:space="preserve">FORMULAS</t>
  </si>
  <si>
    <t xml:space="preserve">Gross funding  =  (MMR + cost of service)  ×  tier multiple</t>
  </si>
  <si>
    <t xml:space="preserve">Budget  =  gross funding + activation</t>
  </si>
  <si>
    <t xml:space="preserve">Cost of goods  =  part cost (new units only) + labor (new and existing)</t>
  </si>
  <si>
    <t xml:space="preserve">Commission at cost  =  budget − cost of goods − admin − attrition − merchant − ADC + custom margin</t>
  </si>
  <si>
    <t xml:space="preserve">Commission (this deal)  =  commission at cost + (equipment retail − credit given)</t>
  </si>
  <si>
    <t xml:space="preserve">Commission at full retail  =  commission at cost + equipment retail</t>
  </si>
  <si>
    <t xml:space="preserve">Customer pays  =  activation + equipment retail − credit given</t>
  </si>
  <si>
    <t xml:space="preserve">Equipment margin  =  equipment retail − cost of goods</t>
  </si>
  <si>
    <t xml:space="preserve">Attrition reserve  =  gross funding × tier attrition %, held back and released per the funding agreement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</si>
</sst>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"/>
    <numFmt numFmtId="167" formatCode="0"/>
    <numFmt numFmtId="168" formatCode="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A8A8A"/>
      <name val="Arial"/>
      <family val="0"/>
      <charset val="1"/>
    </font>
    <font>
      <sz val="9"/>
      <color rgb="FFA8842F"/>
      <name val="Arial"/>
      <family val="0"/>
      <charset val="1"/>
    </font>
    <font>
      <b val="true"/>
      <sz val="11"/>
      <color rgb="FFFAF8F4"/>
      <name val="Arial"/>
      <family val="0"/>
      <charset val="1"/>
    </font>
    <font>
      <b val="true"/>
      <sz val="11"/>
      <color rgb="FFC9A96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0F1A"/>
        <bgColor rgb="FF000000"/>
      </patternFill>
    </fill>
    <fill>
      <patternFill patternType="solid">
        <fgColor rgb="FF2C3347"/>
        <bgColor rgb="FF333300"/>
      </patternFill>
    </fill>
    <fill>
      <patternFill patternType="solid">
        <fgColor rgb="FFFFF2CC"/>
        <bgColor rgb="FFF0EDE8"/>
      </patternFill>
    </fill>
    <fill>
      <patternFill patternType="solid">
        <fgColor rgb="FFF0EDE8"/>
        <bgColor rgb="FFFAF8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0C6"/>
      </left>
      <right style="thin">
        <color rgb="FFD6D0C6"/>
      </right>
      <top style="thin">
        <color rgb="FFD6D0C6"/>
      </top>
      <bottom style="thin">
        <color rgb="FFD6D0C6"/>
      </bottom>
      <diagonal/>
    </border>
    <border diagonalUp="false" diagonalDown="false">
      <left/>
      <right/>
      <top style="medium">
        <color rgb="FFC9A96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42F"/>
      <rgbColor rgb="FF800080"/>
      <rgbColor rgb="FF008080"/>
      <rgbColor rgb="FFD6D0C6"/>
      <rgbColor rgb="FF8A8A8A"/>
      <rgbColor rgb="FF9999FF"/>
      <rgbColor rgb="FF993366"/>
      <rgbColor rgb="FFFFF2CC"/>
      <rgbColor rgb="FFF0ED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8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96E"/>
      <rgbColor rgb="FF003366"/>
      <rgbColor rgb="FF339966"/>
      <rgbColor rgb="FF0B0F1A"/>
      <rgbColor rgb="FF333300"/>
      <rgbColor rgb="FF993300"/>
      <rgbColor rgb="FF993366"/>
      <rgbColor rgb="FF333399"/>
      <rgbColor rgb="FF2C33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E"/>
    <pageSetUpPr fitToPage="false"/>
  </sheetPr>
  <dimension ref="A1:J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8" min="6" style="0" width="13"/>
    <col collapsed="false" customWidth="true" hidden="false" outlineLevel="0" max="9" min="9" style="0" width="11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6" customFormat="false" ht="27.7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customFormat="false" ht="15" hidden="false" customHeight="false" outlineLevel="0" collapsed="false">
      <c r="A7" s="5" t="s">
        <v>13</v>
      </c>
      <c r="B7" s="5" t="s">
        <v>14</v>
      </c>
      <c r="C7" s="5" t="s">
        <v>15</v>
      </c>
      <c r="D7" s="6" t="n">
        <v>227.65</v>
      </c>
      <c r="E7" s="6" t="n">
        <v>149</v>
      </c>
      <c r="F7" s="7" t="n">
        <f aca="false">D7+E7</f>
        <v>376.65</v>
      </c>
      <c r="G7" s="6" t="n">
        <v>450</v>
      </c>
      <c r="H7" s="8" t="n">
        <f aca="false">G7-F7</f>
        <v>73.35</v>
      </c>
      <c r="I7" s="9" t="n">
        <f aca="false">IF(G7=0,"",H7/G7)</f>
        <v>0.163</v>
      </c>
      <c r="J7" s="10" t="s">
        <v>16</v>
      </c>
    </row>
    <row r="8" customFormat="false" ht="15" hidden="false" customHeight="false" outlineLevel="0" collapsed="false">
      <c r="A8" s="11" t="s">
        <v>13</v>
      </c>
      <c r="B8" s="11" t="s">
        <v>17</v>
      </c>
      <c r="C8" s="11" t="s">
        <v>18</v>
      </c>
      <c r="D8" s="6" t="n">
        <v>267.98</v>
      </c>
      <c r="E8" s="6" t="n">
        <v>149</v>
      </c>
      <c r="F8" s="12" t="n">
        <f aca="false">D8+E8</f>
        <v>416.98</v>
      </c>
      <c r="G8" s="6" t="n">
        <v>550</v>
      </c>
      <c r="H8" s="13" t="n">
        <f aca="false">G8-F8</f>
        <v>133.02</v>
      </c>
      <c r="I8" s="14" t="n">
        <f aca="false">IF(G8=0,"",H8/G8)</f>
        <v>0.241854545454545</v>
      </c>
      <c r="J8" s="15" t="s">
        <v>16</v>
      </c>
    </row>
    <row r="9" customFormat="false" ht="15" hidden="false" customHeight="false" outlineLevel="0" collapsed="false">
      <c r="A9" s="5" t="s">
        <v>13</v>
      </c>
      <c r="B9" s="5" t="s">
        <v>19</v>
      </c>
      <c r="C9" s="5" t="s">
        <v>20</v>
      </c>
      <c r="D9" s="6" t="n">
        <v>109.25</v>
      </c>
      <c r="E9" s="6" t="n">
        <v>75</v>
      </c>
      <c r="F9" s="7" t="n">
        <f aca="false">D9+E9</f>
        <v>184.25</v>
      </c>
      <c r="G9" s="6" t="n">
        <v>240</v>
      </c>
      <c r="H9" s="8" t="n">
        <f aca="false">G9-F9</f>
        <v>55.75</v>
      </c>
      <c r="I9" s="9" t="n">
        <f aca="false">IF(G9=0,"",H9/G9)</f>
        <v>0.232291666666667</v>
      </c>
      <c r="J9" s="16" t="s">
        <v>21</v>
      </c>
    </row>
    <row r="10" customFormat="false" ht="15" hidden="false" customHeight="false" outlineLevel="0" collapsed="false">
      <c r="A10" s="11" t="s">
        <v>13</v>
      </c>
      <c r="B10" s="11" t="s">
        <v>22</v>
      </c>
      <c r="C10" s="11" t="s">
        <v>23</v>
      </c>
      <c r="D10" s="6" t="n">
        <v>61.53</v>
      </c>
      <c r="E10" s="6" t="n">
        <v>0</v>
      </c>
      <c r="F10" s="12" t="n">
        <f aca="false">D10+E10</f>
        <v>61.53</v>
      </c>
      <c r="G10" s="6" t="n">
        <v>80</v>
      </c>
      <c r="H10" s="13" t="n">
        <f aca="false">G10-F10</f>
        <v>18.47</v>
      </c>
      <c r="I10" s="14" t="n">
        <f aca="false">IF(G10=0,"",H10/G10)</f>
        <v>0.230875</v>
      </c>
      <c r="J10" s="17" t="s">
        <v>21</v>
      </c>
    </row>
    <row r="11" customFormat="false" ht="15" hidden="false" customHeight="false" outlineLevel="0" collapsed="false">
      <c r="A11" s="5" t="s">
        <v>13</v>
      </c>
      <c r="B11" s="5" t="s">
        <v>24</v>
      </c>
      <c r="C11" s="5" t="s">
        <v>25</v>
      </c>
      <c r="D11" s="6" t="n">
        <v>51.68</v>
      </c>
      <c r="E11" s="6" t="n">
        <v>0</v>
      </c>
      <c r="F11" s="7" t="n">
        <f aca="false">D11+E11</f>
        <v>51.68</v>
      </c>
      <c r="G11" s="6" t="n">
        <v>99</v>
      </c>
      <c r="H11" s="8" t="n">
        <f aca="false">G11-F11</f>
        <v>47.32</v>
      </c>
      <c r="I11" s="9" t="n">
        <f aca="false">IF(G11=0,"",H11/G11)</f>
        <v>0.477979797979798</v>
      </c>
      <c r="J11" s="10" t="s">
        <v>16</v>
      </c>
    </row>
    <row r="12" customFormat="false" ht="15" hidden="false" customHeight="false" outlineLevel="0" collapsed="false">
      <c r="A12" s="11" t="s">
        <v>13</v>
      </c>
      <c r="B12" s="11" t="s">
        <v>26</v>
      </c>
      <c r="C12" s="11" t="s">
        <v>27</v>
      </c>
      <c r="D12" s="6" t="n">
        <v>49.22</v>
      </c>
      <c r="E12" s="6" t="n">
        <v>0</v>
      </c>
      <c r="F12" s="12" t="n">
        <f aca="false">D12+E12</f>
        <v>49.22</v>
      </c>
      <c r="G12" s="6" t="n">
        <v>99</v>
      </c>
      <c r="H12" s="13" t="n">
        <f aca="false">G12-F12</f>
        <v>49.78</v>
      </c>
      <c r="I12" s="14" t="n">
        <f aca="false">IF(G12=0,"",H12/G12)</f>
        <v>0.502828282828283</v>
      </c>
      <c r="J12" s="15" t="s">
        <v>16</v>
      </c>
    </row>
    <row r="13" customFormat="false" ht="15" hidden="false" customHeight="false" outlineLevel="0" collapsed="false">
      <c r="A13" s="5" t="s">
        <v>13</v>
      </c>
      <c r="B13" s="5" t="s">
        <v>28</v>
      </c>
      <c r="C13" s="5" t="s">
        <v>29</v>
      </c>
      <c r="D13" s="6" t="n">
        <v>53</v>
      </c>
      <c r="E13" s="6" t="n">
        <v>0</v>
      </c>
      <c r="F13" s="7" t="n">
        <f aca="false">D13+E13</f>
        <v>53</v>
      </c>
      <c r="G13" s="6" t="n">
        <v>199</v>
      </c>
      <c r="H13" s="8" t="n">
        <f aca="false">G13-F13</f>
        <v>146</v>
      </c>
      <c r="I13" s="9" t="n">
        <f aca="false">IF(G13=0,"",H13/G13)</f>
        <v>0.733668341708543</v>
      </c>
      <c r="J13" s="10" t="s">
        <v>16</v>
      </c>
    </row>
    <row r="14" customFormat="false" ht="15" hidden="false" customHeight="false" outlineLevel="0" collapsed="false">
      <c r="A14" s="11" t="s">
        <v>30</v>
      </c>
      <c r="B14" s="11" t="s">
        <v>31</v>
      </c>
      <c r="C14" s="11" t="s">
        <v>32</v>
      </c>
      <c r="D14" s="6" t="n">
        <v>12.64</v>
      </c>
      <c r="E14" s="6" t="n">
        <v>15</v>
      </c>
      <c r="F14" s="12" t="n">
        <f aca="false">D14+E14</f>
        <v>27.64</v>
      </c>
      <c r="G14" s="6" t="n">
        <v>159</v>
      </c>
      <c r="H14" s="13" t="n">
        <f aca="false">G14-F14</f>
        <v>131.36</v>
      </c>
      <c r="I14" s="14" t="n">
        <f aca="false">IF(G14=0,"",H14/G14)</f>
        <v>0.826163522012579</v>
      </c>
      <c r="J14" s="15" t="s">
        <v>16</v>
      </c>
    </row>
    <row r="15" customFormat="false" ht="15" hidden="false" customHeight="false" outlineLevel="0" collapsed="false">
      <c r="A15" s="5" t="s">
        <v>30</v>
      </c>
      <c r="B15" s="5" t="s">
        <v>33</v>
      </c>
      <c r="C15" s="5" t="s">
        <v>34</v>
      </c>
      <c r="D15" s="6" t="n">
        <v>31.6</v>
      </c>
      <c r="E15" s="6" t="n">
        <v>15</v>
      </c>
      <c r="F15" s="7" t="n">
        <f aca="false">D15+E15</f>
        <v>46.6</v>
      </c>
      <c r="G15" s="6" t="n">
        <v>299</v>
      </c>
      <c r="H15" s="8" t="n">
        <f aca="false">G15-F15</f>
        <v>252.4</v>
      </c>
      <c r="I15" s="9" t="n">
        <f aca="false">IF(G15=0,"",H15/G15)</f>
        <v>0.844147157190636</v>
      </c>
      <c r="J15" s="10" t="s">
        <v>16</v>
      </c>
    </row>
    <row r="16" customFormat="false" ht="15" hidden="false" customHeight="false" outlineLevel="0" collapsed="false">
      <c r="A16" s="11" t="s">
        <v>30</v>
      </c>
      <c r="B16" s="11" t="s">
        <v>35</v>
      </c>
      <c r="C16" s="11" t="s">
        <v>36</v>
      </c>
      <c r="D16" s="6" t="n">
        <v>45.5</v>
      </c>
      <c r="E16" s="6" t="n">
        <v>15</v>
      </c>
      <c r="F16" s="12" t="n">
        <f aca="false">D16+E16</f>
        <v>60.5</v>
      </c>
      <c r="G16" s="6" t="n">
        <v>299</v>
      </c>
      <c r="H16" s="13" t="n">
        <f aca="false">G16-F16</f>
        <v>238.5</v>
      </c>
      <c r="I16" s="14" t="n">
        <f aca="false">IF(G16=0,"",H16/G16)</f>
        <v>0.797658862876254</v>
      </c>
      <c r="J16" s="15" t="s">
        <v>16</v>
      </c>
    </row>
    <row r="17" customFormat="false" ht="15" hidden="false" customHeight="false" outlineLevel="0" collapsed="false">
      <c r="A17" s="5" t="s">
        <v>30</v>
      </c>
      <c r="B17" s="5" t="s">
        <v>37</v>
      </c>
      <c r="C17" s="5" t="s">
        <v>38</v>
      </c>
      <c r="D17" s="6" t="n">
        <v>22.74</v>
      </c>
      <c r="E17" s="6" t="n">
        <v>15</v>
      </c>
      <c r="F17" s="7" t="n">
        <f aca="false">D17+E17</f>
        <v>37.74</v>
      </c>
      <c r="G17" s="6" t="n">
        <v>199</v>
      </c>
      <c r="H17" s="8" t="n">
        <f aca="false">G17-F17</f>
        <v>161.26</v>
      </c>
      <c r="I17" s="9" t="n">
        <f aca="false">IF(G17=0,"",H17/G17)</f>
        <v>0.81035175879397</v>
      </c>
      <c r="J17" s="10" t="s">
        <v>16</v>
      </c>
    </row>
    <row r="18" customFormat="false" ht="15" hidden="false" customHeight="false" outlineLevel="0" collapsed="false">
      <c r="A18" s="11" t="s">
        <v>39</v>
      </c>
      <c r="B18" s="11" t="s">
        <v>40</v>
      </c>
      <c r="C18" s="11" t="s">
        <v>41</v>
      </c>
      <c r="D18" s="6" t="n">
        <v>45.5</v>
      </c>
      <c r="E18" s="6" t="n">
        <v>15</v>
      </c>
      <c r="F18" s="12" t="n">
        <f aca="false">D18+E18</f>
        <v>60.5</v>
      </c>
      <c r="G18" s="6" t="n">
        <v>299</v>
      </c>
      <c r="H18" s="13" t="n">
        <f aca="false">G18-F18</f>
        <v>238.5</v>
      </c>
      <c r="I18" s="14" t="n">
        <f aca="false">IF(G18=0,"",H18/G18)</f>
        <v>0.797658862876254</v>
      </c>
      <c r="J18" s="15" t="s">
        <v>16</v>
      </c>
    </row>
    <row r="19" customFormat="false" ht="15" hidden="false" customHeight="false" outlineLevel="0" collapsed="false">
      <c r="A19" s="5" t="s">
        <v>39</v>
      </c>
      <c r="B19" s="5" t="s">
        <v>42</v>
      </c>
      <c r="C19" s="5" t="s">
        <v>43</v>
      </c>
      <c r="D19" s="6" t="n">
        <v>44.31</v>
      </c>
      <c r="E19" s="6" t="n">
        <v>15</v>
      </c>
      <c r="F19" s="7" t="n">
        <f aca="false">D19+E19</f>
        <v>59.31</v>
      </c>
      <c r="G19" s="6" t="n">
        <v>299</v>
      </c>
      <c r="H19" s="8" t="n">
        <f aca="false">G19-F19</f>
        <v>239.69</v>
      </c>
      <c r="I19" s="9" t="n">
        <f aca="false">IF(G19=0,"",H19/G19)</f>
        <v>0.801638795986622</v>
      </c>
      <c r="J19" s="10" t="s">
        <v>16</v>
      </c>
    </row>
    <row r="20" customFormat="false" ht="15" hidden="false" customHeight="false" outlineLevel="0" collapsed="false">
      <c r="A20" s="11" t="s">
        <v>39</v>
      </c>
      <c r="B20" s="11" t="s">
        <v>44</v>
      </c>
      <c r="C20" s="11" t="s">
        <v>45</v>
      </c>
      <c r="D20" s="6" t="n">
        <v>107.43</v>
      </c>
      <c r="E20" s="6" t="n">
        <v>15</v>
      </c>
      <c r="F20" s="12" t="n">
        <f aca="false">D20+E20</f>
        <v>122.43</v>
      </c>
      <c r="G20" s="6" t="n">
        <v>299</v>
      </c>
      <c r="H20" s="13" t="n">
        <f aca="false">G20-F20</f>
        <v>176.57</v>
      </c>
      <c r="I20" s="14" t="n">
        <f aca="false">IF(G20=0,"",H20/G20)</f>
        <v>0.590535117056856</v>
      </c>
      <c r="J20" s="15" t="s">
        <v>16</v>
      </c>
    </row>
    <row r="21" customFormat="false" ht="15" hidden="false" customHeight="false" outlineLevel="0" collapsed="false">
      <c r="A21" s="5" t="s">
        <v>39</v>
      </c>
      <c r="B21" s="5" t="s">
        <v>46</v>
      </c>
      <c r="C21" s="5" t="s">
        <v>47</v>
      </c>
      <c r="D21" s="6" t="n">
        <v>44.3</v>
      </c>
      <c r="E21" s="6" t="n">
        <v>15</v>
      </c>
      <c r="F21" s="7" t="n">
        <f aca="false">D21+E21</f>
        <v>59.3</v>
      </c>
      <c r="G21" s="6" t="n">
        <v>299</v>
      </c>
      <c r="H21" s="8" t="n">
        <f aca="false">G21-F21</f>
        <v>239.7</v>
      </c>
      <c r="I21" s="9" t="n">
        <f aca="false">IF(G21=0,"",H21/G21)</f>
        <v>0.801672240802676</v>
      </c>
      <c r="J21" s="10" t="s">
        <v>16</v>
      </c>
    </row>
    <row r="22" customFormat="false" ht="15" hidden="false" customHeight="false" outlineLevel="0" collapsed="false">
      <c r="A22" s="11" t="s">
        <v>48</v>
      </c>
      <c r="B22" s="11" t="s">
        <v>49</v>
      </c>
      <c r="C22" s="11" t="s">
        <v>50</v>
      </c>
      <c r="D22" s="6" t="n">
        <v>116.9</v>
      </c>
      <c r="E22" s="6" t="n">
        <v>25</v>
      </c>
      <c r="F22" s="12" t="n">
        <f aca="false">D22+E22</f>
        <v>141.9</v>
      </c>
      <c r="G22" s="6" t="n">
        <v>349</v>
      </c>
      <c r="H22" s="13" t="n">
        <f aca="false">G22-F22</f>
        <v>207.1</v>
      </c>
      <c r="I22" s="14" t="n">
        <f aca="false">IF(G22=0,"",H22/G22)</f>
        <v>0.593409742120344</v>
      </c>
      <c r="J22" s="15" t="s">
        <v>16</v>
      </c>
    </row>
    <row r="23" customFormat="false" ht="15" hidden="false" customHeight="false" outlineLevel="0" collapsed="false">
      <c r="A23" s="5" t="s">
        <v>48</v>
      </c>
      <c r="B23" s="5" t="s">
        <v>51</v>
      </c>
      <c r="C23" s="5" t="s">
        <v>52</v>
      </c>
      <c r="D23" s="6" t="n">
        <v>61.53</v>
      </c>
      <c r="E23" s="6" t="n">
        <v>15</v>
      </c>
      <c r="F23" s="7" t="n">
        <f aca="false">D23+E23</f>
        <v>76.53</v>
      </c>
      <c r="G23" s="6" t="n">
        <v>249</v>
      </c>
      <c r="H23" s="8" t="n">
        <f aca="false">G23-F23</f>
        <v>172.47</v>
      </c>
      <c r="I23" s="9" t="n">
        <f aca="false">IF(G23=0,"",H23/G23)</f>
        <v>0.692650602409639</v>
      </c>
      <c r="J23" s="10" t="s">
        <v>16</v>
      </c>
    </row>
    <row r="24" customFormat="false" ht="15" hidden="false" customHeight="false" outlineLevel="0" collapsed="false">
      <c r="A24" s="11" t="s">
        <v>48</v>
      </c>
      <c r="B24" s="11" t="s">
        <v>53</v>
      </c>
      <c r="C24" s="11" t="s">
        <v>54</v>
      </c>
      <c r="D24" s="6" t="n">
        <v>36.8</v>
      </c>
      <c r="E24" s="6" t="n">
        <v>25</v>
      </c>
      <c r="F24" s="12" t="n">
        <f aca="false">D24+E24</f>
        <v>61.8</v>
      </c>
      <c r="G24" s="6" t="n">
        <v>199</v>
      </c>
      <c r="H24" s="13" t="n">
        <f aca="false">G24-F24</f>
        <v>137.2</v>
      </c>
      <c r="I24" s="14" t="n">
        <f aca="false">IF(G24=0,"",H24/G24)</f>
        <v>0.689447236180904</v>
      </c>
      <c r="J24" s="15" t="s">
        <v>16</v>
      </c>
    </row>
    <row r="25" customFormat="false" ht="15" hidden="false" customHeight="false" outlineLevel="0" collapsed="false">
      <c r="A25" s="5" t="s">
        <v>48</v>
      </c>
      <c r="B25" s="5" t="s">
        <v>55</v>
      </c>
      <c r="C25" s="5" t="s">
        <v>56</v>
      </c>
      <c r="D25" s="6" t="n">
        <v>18.46</v>
      </c>
      <c r="E25" s="6" t="n">
        <v>0</v>
      </c>
      <c r="F25" s="7" t="n">
        <f aca="false">D25+E25</f>
        <v>18.46</v>
      </c>
      <c r="G25" s="6" t="n">
        <v>24</v>
      </c>
      <c r="H25" s="8" t="n">
        <f aca="false">G25-F25</f>
        <v>5.54</v>
      </c>
      <c r="I25" s="9" t="n">
        <f aca="false">IF(G25=0,"",H25/G25)</f>
        <v>0.230833333333333</v>
      </c>
      <c r="J25" s="16" t="s">
        <v>21</v>
      </c>
    </row>
    <row r="26" customFormat="false" ht="15" hidden="false" customHeight="false" outlineLevel="0" collapsed="false">
      <c r="A26" s="11" t="s">
        <v>48</v>
      </c>
      <c r="B26" s="11" t="s">
        <v>57</v>
      </c>
      <c r="C26" s="11" t="s">
        <v>58</v>
      </c>
      <c r="D26" s="6" t="n">
        <v>24.61</v>
      </c>
      <c r="E26" s="6" t="n">
        <v>0</v>
      </c>
      <c r="F26" s="12" t="n">
        <f aca="false">D26+E26</f>
        <v>24.61</v>
      </c>
      <c r="G26" s="6" t="n">
        <v>32</v>
      </c>
      <c r="H26" s="13" t="n">
        <f aca="false">G26-F26</f>
        <v>7.39</v>
      </c>
      <c r="I26" s="14" t="n">
        <f aca="false">IF(G26=0,"",H26/G26)</f>
        <v>0.2309375</v>
      </c>
      <c r="J26" s="17" t="s">
        <v>21</v>
      </c>
    </row>
    <row r="27" customFormat="false" ht="15" hidden="false" customHeight="false" outlineLevel="0" collapsed="false">
      <c r="A27" s="5" t="s">
        <v>48</v>
      </c>
      <c r="B27" s="5" t="s">
        <v>59</v>
      </c>
      <c r="C27" s="5" t="s">
        <v>60</v>
      </c>
      <c r="D27" s="6" t="n">
        <v>18.45</v>
      </c>
      <c r="E27" s="6" t="n">
        <v>0</v>
      </c>
      <c r="F27" s="7" t="n">
        <f aca="false">D27+E27</f>
        <v>18.45</v>
      </c>
      <c r="G27" s="6" t="n">
        <v>24</v>
      </c>
      <c r="H27" s="8" t="n">
        <f aca="false">G27-F27</f>
        <v>5.55</v>
      </c>
      <c r="I27" s="9" t="n">
        <f aca="false">IF(G27=0,"",H27/G27)</f>
        <v>0.23125</v>
      </c>
      <c r="J27" s="16" t="s">
        <v>21</v>
      </c>
    </row>
    <row r="28" customFormat="false" ht="15" hidden="false" customHeight="false" outlineLevel="0" collapsed="false">
      <c r="A28" s="11" t="s">
        <v>48</v>
      </c>
      <c r="B28" s="11" t="s">
        <v>61</v>
      </c>
      <c r="C28" s="11" t="s">
        <v>62</v>
      </c>
      <c r="D28" s="6" t="n">
        <v>32.98</v>
      </c>
      <c r="E28" s="6" t="n">
        <v>0</v>
      </c>
      <c r="F28" s="12" t="n">
        <f aca="false">D28+E28</f>
        <v>32.98</v>
      </c>
      <c r="G28" s="6" t="n">
        <v>43</v>
      </c>
      <c r="H28" s="13" t="n">
        <f aca="false">G28-F28</f>
        <v>10.02</v>
      </c>
      <c r="I28" s="14" t="n">
        <f aca="false">IF(G28=0,"",H28/G28)</f>
        <v>0.233023255813954</v>
      </c>
      <c r="J28" s="17" t="s">
        <v>21</v>
      </c>
    </row>
    <row r="29" customFormat="false" ht="15" hidden="false" customHeight="false" outlineLevel="0" collapsed="false">
      <c r="A29" s="5" t="s">
        <v>63</v>
      </c>
      <c r="B29" s="5" t="s">
        <v>64</v>
      </c>
      <c r="C29" s="5" t="s">
        <v>65</v>
      </c>
      <c r="D29" s="6" t="n">
        <v>122.41</v>
      </c>
      <c r="E29" s="6" t="n">
        <v>15</v>
      </c>
      <c r="F29" s="7" t="n">
        <f aca="false">D29+E29</f>
        <v>137.41</v>
      </c>
      <c r="G29" s="6" t="n">
        <v>349</v>
      </c>
      <c r="H29" s="8" t="n">
        <f aca="false">G29-F29</f>
        <v>211.59</v>
      </c>
      <c r="I29" s="9" t="n">
        <f aca="false">IF(G29=0,"",H29/G29)</f>
        <v>0.606275071633238</v>
      </c>
      <c r="J29" s="10" t="s">
        <v>16</v>
      </c>
    </row>
    <row r="30" customFormat="false" ht="15" hidden="false" customHeight="false" outlineLevel="0" collapsed="false">
      <c r="A30" s="11" t="s">
        <v>63</v>
      </c>
      <c r="B30" s="11" t="s">
        <v>66</v>
      </c>
      <c r="C30" s="11" t="s">
        <v>67</v>
      </c>
      <c r="D30" s="6" t="n">
        <v>122.41</v>
      </c>
      <c r="E30" s="6" t="n">
        <v>40</v>
      </c>
      <c r="F30" s="12" t="n">
        <f aca="false">D30+E30</f>
        <v>162.41</v>
      </c>
      <c r="G30" s="6" t="n">
        <v>349</v>
      </c>
      <c r="H30" s="13" t="n">
        <f aca="false">G30-F30</f>
        <v>186.59</v>
      </c>
      <c r="I30" s="14" t="n">
        <f aca="false">IF(G30=0,"",H30/G30)</f>
        <v>0.534641833810888</v>
      </c>
      <c r="J30" s="15" t="s">
        <v>16</v>
      </c>
    </row>
    <row r="31" customFormat="false" ht="15" hidden="false" customHeight="false" outlineLevel="0" collapsed="false">
      <c r="A31" s="5" t="s">
        <v>63</v>
      </c>
      <c r="B31" s="5" t="s">
        <v>68</v>
      </c>
      <c r="C31" s="5" t="s">
        <v>69</v>
      </c>
      <c r="D31" s="6" t="n">
        <v>153.53</v>
      </c>
      <c r="E31" s="6" t="n">
        <v>40</v>
      </c>
      <c r="F31" s="7" t="n">
        <f aca="false">D31+E31</f>
        <v>193.53</v>
      </c>
      <c r="G31" s="6" t="n">
        <v>399</v>
      </c>
      <c r="H31" s="8" t="n">
        <f aca="false">G31-F31</f>
        <v>205.47</v>
      </c>
      <c r="I31" s="9" t="n">
        <f aca="false">IF(G31=0,"",H31/G31)</f>
        <v>0.514962406015038</v>
      </c>
      <c r="J31" s="10" t="s">
        <v>16</v>
      </c>
    </row>
    <row r="32" customFormat="false" ht="15" hidden="false" customHeight="false" outlineLevel="0" collapsed="false">
      <c r="A32" s="11" t="s">
        <v>63</v>
      </c>
      <c r="B32" s="11" t="s">
        <v>70</v>
      </c>
      <c r="C32" s="11" t="s">
        <v>71</v>
      </c>
      <c r="D32" s="6" t="n">
        <v>91.43</v>
      </c>
      <c r="E32" s="6" t="n">
        <v>15</v>
      </c>
      <c r="F32" s="12" t="n">
        <f aca="false">D32+E32</f>
        <v>106.43</v>
      </c>
      <c r="G32" s="6" t="n">
        <v>299</v>
      </c>
      <c r="H32" s="13" t="n">
        <f aca="false">G32-F32</f>
        <v>192.57</v>
      </c>
      <c r="I32" s="14" t="n">
        <f aca="false">IF(G32=0,"",H32/G32)</f>
        <v>0.644046822742475</v>
      </c>
      <c r="J32" s="15" t="s">
        <v>16</v>
      </c>
    </row>
    <row r="33" customFormat="false" ht="15" hidden="false" customHeight="false" outlineLevel="0" collapsed="false">
      <c r="A33" s="5" t="s">
        <v>63</v>
      </c>
      <c r="B33" s="5" t="s">
        <v>72</v>
      </c>
      <c r="C33" s="5" t="s">
        <v>73</v>
      </c>
      <c r="D33" s="6" t="n">
        <v>148</v>
      </c>
      <c r="E33" s="6" t="n">
        <v>40</v>
      </c>
      <c r="F33" s="7" t="n">
        <f aca="false">D33+E33</f>
        <v>188</v>
      </c>
      <c r="G33" s="6" t="n">
        <v>399</v>
      </c>
      <c r="H33" s="8" t="n">
        <f aca="false">G33-F33</f>
        <v>211</v>
      </c>
      <c r="I33" s="9" t="n">
        <f aca="false">IF(G33=0,"",H33/G33)</f>
        <v>0.528822055137845</v>
      </c>
      <c r="J33" s="10" t="s">
        <v>16</v>
      </c>
    </row>
    <row r="34" customFormat="false" ht="15" hidden="false" customHeight="false" outlineLevel="0" collapsed="false">
      <c r="A34" s="11" t="s">
        <v>63</v>
      </c>
      <c r="B34" s="11" t="s">
        <v>74</v>
      </c>
      <c r="C34" s="11" t="s">
        <v>75</v>
      </c>
      <c r="D34" s="6" t="n">
        <v>89</v>
      </c>
      <c r="E34" s="6" t="n">
        <v>15</v>
      </c>
      <c r="F34" s="12" t="n">
        <f aca="false">D34+E34</f>
        <v>104</v>
      </c>
      <c r="G34" s="6" t="n">
        <v>299</v>
      </c>
      <c r="H34" s="13" t="n">
        <f aca="false">G34-F34</f>
        <v>195</v>
      </c>
      <c r="I34" s="14" t="n">
        <f aca="false">IF(G34=0,"",H34/G34)</f>
        <v>0.652173913043478</v>
      </c>
      <c r="J34" s="15" t="s">
        <v>16</v>
      </c>
    </row>
    <row r="35" customFormat="false" ht="15" hidden="false" customHeight="false" outlineLevel="0" collapsed="false">
      <c r="A35" s="5" t="s">
        <v>76</v>
      </c>
      <c r="B35" s="5" t="s">
        <v>77</v>
      </c>
      <c r="C35" s="5" t="s">
        <v>78</v>
      </c>
      <c r="D35" s="6" t="n">
        <v>88.61</v>
      </c>
      <c r="E35" s="6" t="n">
        <v>20</v>
      </c>
      <c r="F35" s="7" t="n">
        <f aca="false">D35+E35</f>
        <v>108.61</v>
      </c>
      <c r="G35" s="6" t="n">
        <v>349</v>
      </c>
      <c r="H35" s="8" t="n">
        <f aca="false">G35-F35</f>
        <v>240.39</v>
      </c>
      <c r="I35" s="9" t="n">
        <f aca="false">IF(G35=0,"",H35/G35)</f>
        <v>0.688796561604585</v>
      </c>
      <c r="J35" s="10" t="s">
        <v>16</v>
      </c>
    </row>
    <row r="36" customFormat="false" ht="15" hidden="false" customHeight="false" outlineLevel="0" collapsed="false">
      <c r="A36" s="11" t="s">
        <v>76</v>
      </c>
      <c r="B36" s="11" t="s">
        <v>79</v>
      </c>
      <c r="C36" s="11" t="s">
        <v>80</v>
      </c>
      <c r="D36" s="6" t="n">
        <v>86.25</v>
      </c>
      <c r="E36" s="6" t="n">
        <v>20</v>
      </c>
      <c r="F36" s="12" t="n">
        <f aca="false">D36+E36</f>
        <v>106.25</v>
      </c>
      <c r="G36" s="6" t="n">
        <v>349</v>
      </c>
      <c r="H36" s="13" t="n">
        <f aca="false">G36-F36</f>
        <v>242.75</v>
      </c>
      <c r="I36" s="14" t="n">
        <f aca="false">IF(G36=0,"",H36/G36)</f>
        <v>0.695558739255014</v>
      </c>
      <c r="J36" s="15" t="s">
        <v>16</v>
      </c>
    </row>
    <row r="37" customFormat="false" ht="15" hidden="false" customHeight="false" outlineLevel="0" collapsed="false">
      <c r="A37" s="5" t="s">
        <v>76</v>
      </c>
      <c r="B37" s="5" t="s">
        <v>81</v>
      </c>
      <c r="C37" s="5" t="s">
        <v>82</v>
      </c>
      <c r="D37" s="6" t="n">
        <v>129.44</v>
      </c>
      <c r="E37" s="6" t="n">
        <v>25</v>
      </c>
      <c r="F37" s="7" t="n">
        <f aca="false">D37+E37</f>
        <v>154.44</v>
      </c>
      <c r="G37" s="6" t="n">
        <v>349</v>
      </c>
      <c r="H37" s="8" t="n">
        <f aca="false">G37-F37</f>
        <v>194.56</v>
      </c>
      <c r="I37" s="9" t="n">
        <f aca="false">IF(G37=0,"",H37/G37)</f>
        <v>0.557478510028653</v>
      </c>
      <c r="J37" s="10" t="s">
        <v>16</v>
      </c>
    </row>
    <row r="38" customFormat="false" ht="15" hidden="false" customHeight="false" outlineLevel="0" collapsed="false">
      <c r="A38" s="11" t="s">
        <v>76</v>
      </c>
      <c r="B38" s="11" t="s">
        <v>83</v>
      </c>
      <c r="C38" s="11" t="s">
        <v>84</v>
      </c>
      <c r="D38" s="6" t="n">
        <v>95.6</v>
      </c>
      <c r="E38" s="6" t="n">
        <v>20</v>
      </c>
      <c r="F38" s="12" t="n">
        <f aca="false">D38+E38</f>
        <v>115.6</v>
      </c>
      <c r="G38" s="6" t="n">
        <v>349</v>
      </c>
      <c r="H38" s="13" t="n">
        <f aca="false">G38-F38</f>
        <v>233.4</v>
      </c>
      <c r="I38" s="14" t="n">
        <f aca="false">IF(G38=0,"",H38/G38)</f>
        <v>0.668767908309456</v>
      </c>
      <c r="J38" s="15" t="s">
        <v>16</v>
      </c>
    </row>
    <row r="39" customFormat="false" ht="15" hidden="false" customHeight="false" outlineLevel="0" collapsed="false">
      <c r="A39" s="5" t="s">
        <v>76</v>
      </c>
      <c r="B39" s="5" t="s">
        <v>85</v>
      </c>
      <c r="C39" s="5" t="s">
        <v>86</v>
      </c>
      <c r="D39" s="6" t="n">
        <v>83.45</v>
      </c>
      <c r="E39" s="6" t="n">
        <v>0</v>
      </c>
      <c r="F39" s="7" t="n">
        <f aca="false">D39+E39</f>
        <v>83.45</v>
      </c>
      <c r="G39" s="6" t="n">
        <v>249</v>
      </c>
      <c r="H39" s="8" t="n">
        <f aca="false">G39-F39</f>
        <v>165.55</v>
      </c>
      <c r="I39" s="9" t="n">
        <f aca="false">IF(G39=0,"",H39/G39)</f>
        <v>0.664859437751004</v>
      </c>
      <c r="J39" s="10" t="s">
        <v>16</v>
      </c>
    </row>
    <row r="40" customFormat="false" ht="15" hidden="false" customHeight="false" outlineLevel="0" collapsed="false">
      <c r="A40" s="11" t="s">
        <v>76</v>
      </c>
      <c r="B40" s="11" t="s">
        <v>87</v>
      </c>
      <c r="C40" s="11" t="s">
        <v>88</v>
      </c>
      <c r="D40" s="6" t="n">
        <v>15.2</v>
      </c>
      <c r="E40" s="6" t="n">
        <v>5</v>
      </c>
      <c r="F40" s="12" t="n">
        <f aca="false">D40+E40</f>
        <v>20.2</v>
      </c>
      <c r="G40" s="6" t="n">
        <v>99</v>
      </c>
      <c r="H40" s="13" t="n">
        <f aca="false">G40-F40</f>
        <v>78.8</v>
      </c>
      <c r="I40" s="14" t="n">
        <f aca="false">IF(G40=0,"",H40/G40)</f>
        <v>0.795959595959596</v>
      </c>
      <c r="J40" s="15" t="s">
        <v>16</v>
      </c>
    </row>
    <row r="41" customFormat="false" ht="15" hidden="false" customHeight="false" outlineLevel="0" collapsed="false">
      <c r="A41" s="5" t="s">
        <v>76</v>
      </c>
      <c r="B41" s="5" t="s">
        <v>89</v>
      </c>
      <c r="C41" s="5" t="s">
        <v>90</v>
      </c>
      <c r="D41" s="6" t="n">
        <v>29</v>
      </c>
      <c r="E41" s="6" t="n">
        <v>0</v>
      </c>
      <c r="F41" s="7" t="n">
        <f aca="false">D41+E41</f>
        <v>29</v>
      </c>
      <c r="G41" s="6" t="n">
        <v>129</v>
      </c>
      <c r="H41" s="8" t="n">
        <f aca="false">G41-F41</f>
        <v>100</v>
      </c>
      <c r="I41" s="9" t="n">
        <f aca="false">IF(G41=0,"",H41/G41)</f>
        <v>0.775193798449612</v>
      </c>
      <c r="J41" s="10" t="s">
        <v>16</v>
      </c>
    </row>
    <row r="42" customFormat="false" ht="15" hidden="false" customHeight="false" outlineLevel="0" collapsed="false">
      <c r="A42" s="11" t="s">
        <v>76</v>
      </c>
      <c r="B42" s="11" t="s">
        <v>91</v>
      </c>
      <c r="C42" s="11" t="s">
        <v>92</v>
      </c>
      <c r="D42" s="6" t="n">
        <v>33.81</v>
      </c>
      <c r="E42" s="6" t="n">
        <v>15</v>
      </c>
      <c r="F42" s="12" t="n">
        <f aca="false">D42+E42</f>
        <v>48.81</v>
      </c>
      <c r="G42" s="6" t="n">
        <v>129</v>
      </c>
      <c r="H42" s="13" t="n">
        <f aca="false">G42-F42</f>
        <v>80.19</v>
      </c>
      <c r="I42" s="14" t="n">
        <f aca="false">IF(G42=0,"",H42/G42)</f>
        <v>0.621627906976744</v>
      </c>
      <c r="J42" s="15" t="s">
        <v>16</v>
      </c>
    </row>
    <row r="43" customFormat="false" ht="15" hidden="false" customHeight="false" outlineLevel="0" collapsed="false">
      <c r="A43" s="5" t="s">
        <v>76</v>
      </c>
      <c r="B43" s="5" t="s">
        <v>93</v>
      </c>
      <c r="C43" s="5" t="s">
        <v>94</v>
      </c>
      <c r="D43" s="6" t="n">
        <v>44.57</v>
      </c>
      <c r="E43" s="6" t="n">
        <v>0</v>
      </c>
      <c r="F43" s="7" t="n">
        <f aca="false">D43+E43</f>
        <v>44.57</v>
      </c>
      <c r="G43" s="6" t="n">
        <v>129</v>
      </c>
      <c r="H43" s="8" t="n">
        <f aca="false">G43-F43</f>
        <v>84.43</v>
      </c>
      <c r="I43" s="9" t="n">
        <f aca="false">IF(G43=0,"",H43/G43)</f>
        <v>0.654496124031008</v>
      </c>
      <c r="J43" s="10" t="s">
        <v>16</v>
      </c>
    </row>
    <row r="44" customFormat="false" ht="15" hidden="false" customHeight="false" outlineLevel="0" collapsed="false">
      <c r="A44" s="11" t="s">
        <v>95</v>
      </c>
      <c r="B44" s="11" t="s">
        <v>96</v>
      </c>
      <c r="C44" s="11" t="s">
        <v>97</v>
      </c>
      <c r="D44" s="6" t="n">
        <v>13.54</v>
      </c>
      <c r="E44" s="6" t="n">
        <v>15</v>
      </c>
      <c r="F44" s="12" t="n">
        <f aca="false">D44+E44</f>
        <v>28.54</v>
      </c>
      <c r="G44" s="6" t="n">
        <v>159</v>
      </c>
      <c r="H44" s="13" t="n">
        <f aca="false">G44-F44</f>
        <v>130.46</v>
      </c>
      <c r="I44" s="14" t="n">
        <f aca="false">IF(G44=0,"",H44/G44)</f>
        <v>0.820503144654088</v>
      </c>
      <c r="J44" s="15" t="s">
        <v>16</v>
      </c>
    </row>
    <row r="45" customFormat="false" ht="15" hidden="false" customHeight="false" outlineLevel="0" collapsed="false">
      <c r="A45" s="5" t="s">
        <v>95</v>
      </c>
      <c r="B45" s="5" t="s">
        <v>98</v>
      </c>
      <c r="C45" s="5" t="s">
        <v>99</v>
      </c>
      <c r="D45" s="6" t="n">
        <v>49.22</v>
      </c>
      <c r="E45" s="6" t="n">
        <v>15</v>
      </c>
      <c r="F45" s="7" t="n">
        <f aca="false">D45+E45</f>
        <v>64.22</v>
      </c>
      <c r="G45" s="6" t="n">
        <v>229</v>
      </c>
      <c r="H45" s="8" t="n">
        <f aca="false">G45-F45</f>
        <v>164.78</v>
      </c>
      <c r="I45" s="9" t="n">
        <f aca="false">IF(G45=0,"",H45/G45)</f>
        <v>0.719563318777293</v>
      </c>
      <c r="J45" s="10" t="s">
        <v>16</v>
      </c>
    </row>
    <row r="46" customFormat="false" ht="15" hidden="false" customHeight="false" outlineLevel="0" collapsed="false">
      <c r="A46" s="11" t="s">
        <v>95</v>
      </c>
      <c r="B46" s="11" t="s">
        <v>100</v>
      </c>
      <c r="C46" s="11" t="s">
        <v>101</v>
      </c>
      <c r="D46" s="6" t="n">
        <v>73.83</v>
      </c>
      <c r="E46" s="6" t="n">
        <v>15</v>
      </c>
      <c r="F46" s="12" t="n">
        <f aca="false">D46+E46</f>
        <v>88.83</v>
      </c>
      <c r="G46" s="6" t="n">
        <v>279</v>
      </c>
      <c r="H46" s="13" t="n">
        <f aca="false">G46-F46</f>
        <v>190.17</v>
      </c>
      <c r="I46" s="14" t="n">
        <f aca="false">IF(G46=0,"",H46/G46)</f>
        <v>0.681612903225807</v>
      </c>
      <c r="J46" s="15" t="s">
        <v>16</v>
      </c>
    </row>
    <row r="47" customFormat="false" ht="15" hidden="false" customHeight="false" outlineLevel="0" collapsed="false">
      <c r="A47" s="5" t="s">
        <v>95</v>
      </c>
      <c r="B47" s="5" t="s">
        <v>102</v>
      </c>
      <c r="C47" s="5" t="s">
        <v>103</v>
      </c>
      <c r="D47" s="6" t="n">
        <v>0</v>
      </c>
      <c r="E47" s="6" t="n">
        <v>25</v>
      </c>
      <c r="F47" s="7" t="n">
        <f aca="false">D47+E47</f>
        <v>25</v>
      </c>
      <c r="G47" s="6" t="n">
        <v>33</v>
      </c>
      <c r="H47" s="8" t="n">
        <f aca="false">G47-F47</f>
        <v>8</v>
      </c>
      <c r="I47" s="9" t="n">
        <f aca="false">IF(G47=0,"",H47/G47)</f>
        <v>0.242424242424242</v>
      </c>
      <c r="J47" s="16" t="s">
        <v>21</v>
      </c>
    </row>
    <row r="48" customFormat="false" ht="24" hidden="false" customHeight="true" outlineLevel="0" collapsed="false">
      <c r="A48" s="18" t="s">
        <v>104</v>
      </c>
      <c r="B48" s="19"/>
      <c r="C48" s="19"/>
      <c r="D48" s="20" t="n">
        <f aca="false">SUM(D7:D47)</f>
        <v>2953.36</v>
      </c>
      <c r="E48" s="20" t="n">
        <f aca="false">SUM(E7:E47)</f>
        <v>898</v>
      </c>
      <c r="F48" s="20" t="n">
        <f aca="false">SUM(F7:F47)</f>
        <v>3851.36</v>
      </c>
      <c r="G48" s="20" t="n">
        <f aca="false">SUM(G7:G47)</f>
        <v>9714</v>
      </c>
      <c r="H48" s="21" t="n">
        <f aca="false">SUM(H7:H47)</f>
        <v>5862.64</v>
      </c>
      <c r="I48" s="22" t="n">
        <f aca="false">IF(G48=0,"",H48/G48)</f>
        <v>0.603524809553222</v>
      </c>
      <c r="J48" s="19"/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E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15" hidden="false" customHeight="false" outlineLevel="0" collapsed="false">
      <c r="A1" s="1" t="s">
        <v>105</v>
      </c>
      <c r="B1" s="1"/>
      <c r="C1" s="1"/>
      <c r="D1" s="1"/>
      <c r="E1" s="1"/>
    </row>
    <row r="2" customFormat="false" ht="15" hidden="false" customHeight="false" outlineLevel="0" collapsed="false">
      <c r="A2" s="1"/>
      <c r="B2" s="1"/>
      <c r="C2" s="1"/>
      <c r="D2" s="1"/>
      <c r="E2" s="1"/>
    </row>
    <row r="4" customFormat="false" ht="15" hidden="false" customHeight="false" outlineLevel="0" collapsed="false">
      <c r="A4" s="23" t="s">
        <v>3</v>
      </c>
      <c r="B4" s="23" t="s">
        <v>106</v>
      </c>
      <c r="C4" s="23" t="s">
        <v>8</v>
      </c>
      <c r="D4" s="23" t="s">
        <v>107</v>
      </c>
      <c r="E4" s="23" t="s">
        <v>108</v>
      </c>
    </row>
    <row r="5" customFormat="false" ht="15" hidden="false" customHeight="false" outlineLevel="0" collapsed="false">
      <c r="A5" s="5" t="s">
        <v>13</v>
      </c>
      <c r="B5" s="24" t="n">
        <f aca="false">COUNTIF(Pricing!$A$7:$A$47,$A5)</f>
        <v>7</v>
      </c>
      <c r="C5" s="25" t="n">
        <f aca="false">SUMIF(Pricing!$A$7:$A$47,$A5,Pricing!$F$7:$F$47)</f>
        <v>1193.31</v>
      </c>
      <c r="D5" s="25" t="n">
        <f aca="false">SUMIF(Pricing!$A$7:$A$47,$A5,Pricing!$G$7:$G$47)</f>
        <v>1717</v>
      </c>
      <c r="E5" s="26" t="n">
        <f aca="false">SUMIF(Pricing!$A$7:$A$47,$A5,Pricing!$H$7:$H$47)</f>
        <v>523.69</v>
      </c>
    </row>
    <row r="6" customFormat="false" ht="15" hidden="false" customHeight="false" outlineLevel="0" collapsed="false">
      <c r="A6" s="5" t="s">
        <v>30</v>
      </c>
      <c r="B6" s="24" t="n">
        <f aca="false">COUNTIF(Pricing!$A$7:$A$47,$A6)</f>
        <v>4</v>
      </c>
      <c r="C6" s="25" t="n">
        <f aca="false">SUMIF(Pricing!$A$7:$A$47,$A6,Pricing!$F$7:$F$47)</f>
        <v>172.48</v>
      </c>
      <c r="D6" s="25" t="n">
        <f aca="false">SUMIF(Pricing!$A$7:$A$47,$A6,Pricing!$G$7:$G$47)</f>
        <v>956</v>
      </c>
      <c r="E6" s="26" t="n">
        <f aca="false">SUMIF(Pricing!$A$7:$A$47,$A6,Pricing!$H$7:$H$47)</f>
        <v>783.52</v>
      </c>
    </row>
    <row r="7" customFormat="false" ht="15" hidden="false" customHeight="false" outlineLevel="0" collapsed="false">
      <c r="A7" s="5" t="s">
        <v>39</v>
      </c>
      <c r="B7" s="24" t="n">
        <f aca="false">COUNTIF(Pricing!$A$7:$A$47,$A7)</f>
        <v>4</v>
      </c>
      <c r="C7" s="25" t="n">
        <f aca="false">SUMIF(Pricing!$A$7:$A$47,$A7,Pricing!$F$7:$F$47)</f>
        <v>301.54</v>
      </c>
      <c r="D7" s="25" t="n">
        <f aca="false">SUMIF(Pricing!$A$7:$A$47,$A7,Pricing!$G$7:$G$47)</f>
        <v>1196</v>
      </c>
      <c r="E7" s="26" t="n">
        <f aca="false">SUMIF(Pricing!$A$7:$A$47,$A7,Pricing!$H$7:$H$47)</f>
        <v>894.46</v>
      </c>
    </row>
    <row r="8" customFormat="false" ht="15" hidden="false" customHeight="false" outlineLevel="0" collapsed="false">
      <c r="A8" s="5" t="s">
        <v>48</v>
      </c>
      <c r="B8" s="24" t="n">
        <f aca="false">COUNTIF(Pricing!$A$7:$A$47,$A8)</f>
        <v>7</v>
      </c>
      <c r="C8" s="25" t="n">
        <f aca="false">SUMIF(Pricing!$A$7:$A$47,$A8,Pricing!$F$7:$F$47)</f>
        <v>374.73</v>
      </c>
      <c r="D8" s="25" t="n">
        <f aca="false">SUMIF(Pricing!$A$7:$A$47,$A8,Pricing!$G$7:$G$47)</f>
        <v>920</v>
      </c>
      <c r="E8" s="26" t="n">
        <f aca="false">SUMIF(Pricing!$A$7:$A$47,$A8,Pricing!$H$7:$H$47)</f>
        <v>545.27</v>
      </c>
    </row>
    <row r="9" customFormat="false" ht="15" hidden="false" customHeight="false" outlineLevel="0" collapsed="false">
      <c r="A9" s="5" t="s">
        <v>63</v>
      </c>
      <c r="B9" s="24" t="n">
        <f aca="false">COUNTIF(Pricing!$A$7:$A$47,$A9)</f>
        <v>6</v>
      </c>
      <c r="C9" s="25" t="n">
        <f aca="false">SUMIF(Pricing!$A$7:$A$47,$A9,Pricing!$F$7:$F$47)</f>
        <v>891.78</v>
      </c>
      <c r="D9" s="25" t="n">
        <f aca="false">SUMIF(Pricing!$A$7:$A$47,$A9,Pricing!$G$7:$G$47)</f>
        <v>2094</v>
      </c>
      <c r="E9" s="26" t="n">
        <f aca="false">SUMIF(Pricing!$A$7:$A$47,$A9,Pricing!$H$7:$H$47)</f>
        <v>1202.22</v>
      </c>
    </row>
    <row r="10" customFormat="false" ht="15" hidden="false" customHeight="false" outlineLevel="0" collapsed="false">
      <c r="A10" s="5" t="s">
        <v>76</v>
      </c>
      <c r="B10" s="24" t="n">
        <f aca="false">COUNTIF(Pricing!$A$7:$A$47,$A10)</f>
        <v>9</v>
      </c>
      <c r="C10" s="25" t="n">
        <f aca="false">SUMIF(Pricing!$A$7:$A$47,$A10,Pricing!$F$7:$F$47)</f>
        <v>710.93</v>
      </c>
      <c r="D10" s="25" t="n">
        <f aca="false">SUMIF(Pricing!$A$7:$A$47,$A10,Pricing!$G$7:$G$47)</f>
        <v>2131</v>
      </c>
      <c r="E10" s="26" t="n">
        <f aca="false">SUMIF(Pricing!$A$7:$A$47,$A10,Pricing!$H$7:$H$47)</f>
        <v>1420.07</v>
      </c>
    </row>
    <row r="11" customFormat="false" ht="15" hidden="false" customHeight="false" outlineLevel="0" collapsed="false">
      <c r="A11" s="5" t="s">
        <v>95</v>
      </c>
      <c r="B11" s="24" t="n">
        <f aca="false">COUNTIF(Pricing!$A$7:$A$47,$A11)</f>
        <v>4</v>
      </c>
      <c r="C11" s="25" t="n">
        <f aca="false">SUMIF(Pricing!$A$7:$A$47,$A11,Pricing!$F$7:$F$47)</f>
        <v>206.59</v>
      </c>
      <c r="D11" s="25" t="n">
        <f aca="false">SUMIF(Pricing!$A$7:$A$47,$A11,Pricing!$G$7:$G$47)</f>
        <v>700</v>
      </c>
      <c r="E11" s="26" t="n">
        <f aca="false">SUMIF(Pricing!$A$7:$A$47,$A11,Pricing!$H$7:$H$47)</f>
        <v>493.41</v>
      </c>
    </row>
    <row r="12" customFormat="false" ht="15" hidden="false" customHeight="false" outlineLevel="0" collapsed="false">
      <c r="A12" s="18" t="s">
        <v>109</v>
      </c>
      <c r="B12" s="27" t="n">
        <f aca="false">SUM(B5:B11)</f>
        <v>41</v>
      </c>
      <c r="C12" s="20" t="n">
        <f aca="false">SUM(C5:C11)</f>
        <v>3851.36</v>
      </c>
      <c r="D12" s="20" t="n">
        <f aca="false">SUM(D5:D11)</f>
        <v>9714</v>
      </c>
      <c r="E12" s="21" t="n">
        <f aca="false">SUM(E5:E11)</f>
        <v>5862.64</v>
      </c>
    </row>
  </sheetData>
  <mergeCells count="1">
    <mergeCell ref="A1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E"/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110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4" customFormat="false" ht="19.5" hidden="false" customHeight="true" outlineLevel="0" collapsed="false">
      <c r="A4" s="28" t="s">
        <v>111</v>
      </c>
      <c r="B4" s="28"/>
      <c r="C4" s="28"/>
      <c r="D4" s="28"/>
    </row>
    <row r="5" customFormat="false" ht="15" hidden="false" customHeight="false" outlineLevel="0" collapsed="false">
      <c r="A5" s="29" t="s">
        <v>112</v>
      </c>
      <c r="B5" s="29" t="s">
        <v>113</v>
      </c>
      <c r="C5" s="29" t="s">
        <v>114</v>
      </c>
      <c r="D5" s="29" t="s">
        <v>115</v>
      </c>
    </row>
    <row r="6" customFormat="false" ht="15" hidden="false" customHeight="false" outlineLevel="0" collapsed="false">
      <c r="A6" s="30" t="s">
        <v>116</v>
      </c>
      <c r="B6" s="30" t="s">
        <v>117</v>
      </c>
      <c r="C6" s="31" t="n">
        <v>34</v>
      </c>
      <c r="D6" s="32" t="n">
        <v>0.15</v>
      </c>
    </row>
    <row r="7" customFormat="false" ht="15" hidden="false" customHeight="false" outlineLevel="0" collapsed="false">
      <c r="A7" s="30" t="s">
        <v>118</v>
      </c>
      <c r="B7" s="30" t="s">
        <v>119</v>
      </c>
      <c r="C7" s="31" t="n">
        <v>33</v>
      </c>
      <c r="D7" s="32" t="n">
        <v>0.15</v>
      </c>
    </row>
    <row r="8" customFormat="false" ht="15" hidden="false" customHeight="false" outlineLevel="0" collapsed="false">
      <c r="A8" s="30" t="s">
        <v>120</v>
      </c>
      <c r="B8" s="30" t="s">
        <v>121</v>
      </c>
      <c r="C8" s="31" t="n">
        <v>32</v>
      </c>
      <c r="D8" s="32" t="n">
        <v>0.15</v>
      </c>
    </row>
    <row r="9" customFormat="false" ht="15" hidden="false" customHeight="false" outlineLevel="0" collapsed="false">
      <c r="A9" s="30" t="s">
        <v>122</v>
      </c>
      <c r="B9" s="30" t="s">
        <v>123</v>
      </c>
      <c r="C9" s="31" t="n">
        <v>29</v>
      </c>
      <c r="D9" s="32" t="n">
        <v>0.15</v>
      </c>
    </row>
    <row r="10" customFormat="false" ht="15" hidden="false" customHeight="false" outlineLevel="0" collapsed="false">
      <c r="A10" s="30" t="s">
        <v>124</v>
      </c>
      <c r="B10" s="30" t="s">
        <v>125</v>
      </c>
      <c r="C10" s="31" t="n">
        <v>27</v>
      </c>
      <c r="D10" s="32" t="n">
        <v>0.15</v>
      </c>
    </row>
    <row r="11" customFormat="false" ht="15" hidden="false" customHeight="false" outlineLevel="0" collapsed="false">
      <c r="A11" s="30" t="s">
        <v>126</v>
      </c>
      <c r="B11" s="30" t="s">
        <v>127</v>
      </c>
      <c r="C11" s="31" t="n">
        <v>26</v>
      </c>
      <c r="D11" s="32" t="n">
        <v>0.15</v>
      </c>
    </row>
    <row r="12" customFormat="false" ht="15" hidden="false" customHeight="false" outlineLevel="0" collapsed="false">
      <c r="A12" s="30" t="s">
        <v>128</v>
      </c>
      <c r="B12" s="30" t="s">
        <v>103</v>
      </c>
      <c r="C12" s="31" t="n">
        <v>26</v>
      </c>
      <c r="D12" s="32" t="n">
        <v>0.15</v>
      </c>
    </row>
    <row r="14" customFormat="false" ht="19.5" hidden="false" customHeight="true" outlineLevel="0" collapsed="false">
      <c r="A14" s="28" t="s">
        <v>129</v>
      </c>
      <c r="B14" s="28"/>
      <c r="C14" s="28"/>
      <c r="D14" s="28"/>
    </row>
    <row r="15" customFormat="false" ht="15" hidden="false" customHeight="false" outlineLevel="0" collapsed="false">
      <c r="A15" s="29" t="s">
        <v>130</v>
      </c>
      <c r="B15" s="29" t="s">
        <v>131</v>
      </c>
      <c r="C15" s="29" t="s">
        <v>132</v>
      </c>
      <c r="D15" s="29" t="s">
        <v>133</v>
      </c>
    </row>
    <row r="16" customFormat="false" ht="15" hidden="false" customHeight="false" outlineLevel="0" collapsed="false">
      <c r="A16" s="33" t="s">
        <v>134</v>
      </c>
      <c r="B16" s="34" t="n">
        <v>-3.5</v>
      </c>
      <c r="C16" s="34" t="n">
        <v>51.99</v>
      </c>
      <c r="D16" s="30" t="s">
        <v>135</v>
      </c>
    </row>
    <row r="17" customFormat="false" ht="15" hidden="false" customHeight="false" outlineLevel="0" collapsed="false">
      <c r="A17" s="33" t="s">
        <v>136</v>
      </c>
      <c r="B17" s="34" t="n">
        <v>-3.5</v>
      </c>
      <c r="C17" s="34" t="n">
        <v>53.99</v>
      </c>
      <c r="D17" s="30" t="s">
        <v>135</v>
      </c>
    </row>
    <row r="18" customFormat="false" ht="15" hidden="false" customHeight="false" outlineLevel="0" collapsed="false">
      <c r="A18" s="33" t="s">
        <v>137</v>
      </c>
      <c r="B18" s="34" t="n">
        <v>-6.5</v>
      </c>
      <c r="C18" s="34" t="n">
        <v>61.99</v>
      </c>
      <c r="D18" s="30" t="s">
        <v>138</v>
      </c>
    </row>
    <row r="19" customFormat="false" ht="15" hidden="false" customHeight="false" outlineLevel="0" collapsed="false">
      <c r="A19" s="33" t="s">
        <v>139</v>
      </c>
      <c r="B19" s="34" t="n">
        <v>-8</v>
      </c>
      <c r="C19" s="34" t="n">
        <v>81.99</v>
      </c>
      <c r="D19" s="30" t="s">
        <v>140</v>
      </c>
    </row>
    <row r="22" customFormat="false" ht="19.5" hidden="false" customHeight="true" outlineLevel="0" collapsed="false">
      <c r="A22" s="28" t="s">
        <v>141</v>
      </c>
      <c r="B22" s="28"/>
      <c r="C22" s="28"/>
      <c r="D22" s="28"/>
    </row>
    <row r="23" customFormat="false" ht="15" hidden="false" customHeight="false" outlineLevel="0" collapsed="false">
      <c r="A23" s="5" t="s">
        <v>142</v>
      </c>
      <c r="B23" s="35" t="n">
        <v>99</v>
      </c>
    </row>
    <row r="24" customFormat="false" ht="15" hidden="false" customHeight="false" outlineLevel="0" collapsed="false">
      <c r="A24" s="5" t="s">
        <v>143</v>
      </c>
      <c r="B24" s="35" t="n">
        <v>199</v>
      </c>
    </row>
    <row r="25" customFormat="false" ht="15" hidden="false" customHeight="false" outlineLevel="0" collapsed="false">
      <c r="A25" s="5" t="s">
        <v>144</v>
      </c>
      <c r="B25" s="35" t="n">
        <v>0</v>
      </c>
    </row>
    <row r="26" customFormat="false" ht="15" hidden="false" customHeight="false" outlineLevel="0" collapsed="false">
      <c r="A26" s="5" t="s">
        <v>145</v>
      </c>
      <c r="B26" s="35" t="n">
        <v>0</v>
      </c>
    </row>
    <row r="29" customFormat="false" ht="19.5" hidden="false" customHeight="true" outlineLevel="0" collapsed="false">
      <c r="A29" s="28" t="s">
        <v>146</v>
      </c>
      <c r="B29" s="28"/>
      <c r="C29" s="28"/>
      <c r="D29" s="28"/>
    </row>
    <row r="30" customFormat="false" ht="15" hidden="false" customHeight="false" outlineLevel="0" collapsed="false">
      <c r="A30" s="36" t="s">
        <v>147</v>
      </c>
      <c r="B30" s="36"/>
      <c r="C30" s="36"/>
      <c r="D30" s="36"/>
    </row>
    <row r="31" customFormat="false" ht="15" hidden="false" customHeight="false" outlineLevel="0" collapsed="false">
      <c r="A31" s="36" t="s">
        <v>148</v>
      </c>
      <c r="B31" s="36"/>
      <c r="C31" s="36"/>
      <c r="D31" s="36"/>
    </row>
    <row r="32" customFormat="false" ht="15" hidden="false" customHeight="false" outlineLevel="0" collapsed="false">
      <c r="A32" s="36" t="s">
        <v>149</v>
      </c>
      <c r="B32" s="36"/>
      <c r="C32" s="36"/>
      <c r="D32" s="36"/>
    </row>
    <row r="33" customFormat="false" ht="15" hidden="false" customHeight="false" outlineLevel="0" collapsed="false">
      <c r="A33" s="36" t="s">
        <v>150</v>
      </c>
      <c r="B33" s="36"/>
      <c r="C33" s="36"/>
      <c r="D33" s="36"/>
    </row>
    <row r="34" customFormat="false" ht="15" hidden="false" customHeight="false" outlineLevel="0" collapsed="false">
      <c r="A34" s="36" t="s">
        <v>151</v>
      </c>
      <c r="B34" s="36"/>
      <c r="C34" s="36"/>
      <c r="D34" s="36"/>
    </row>
    <row r="35" customFormat="false" ht="15" hidden="false" customHeight="false" outlineLevel="0" collapsed="false">
      <c r="A35" s="36" t="s">
        <v>152</v>
      </c>
      <c r="B35" s="36"/>
      <c r="C35" s="36"/>
      <c r="D35" s="36"/>
    </row>
    <row r="36" customFormat="false" ht="15" hidden="false" customHeight="false" outlineLevel="0" collapsed="false">
      <c r="A36" s="36" t="s">
        <v>153</v>
      </c>
      <c r="B36" s="36"/>
      <c r="C36" s="36"/>
      <c r="D36" s="36"/>
    </row>
    <row r="37" customFormat="false" ht="15" hidden="false" customHeight="false" outlineLevel="0" collapsed="false">
      <c r="A37" s="36" t="s">
        <v>154</v>
      </c>
      <c r="B37" s="36"/>
      <c r="C37" s="36"/>
      <c r="D37" s="36"/>
    </row>
    <row r="38" customFormat="false" ht="15" hidden="false" customHeight="false" outlineLevel="0" collapsed="false">
      <c r="A38" s="36" t="s">
        <v>155</v>
      </c>
      <c r="B38" s="36"/>
      <c r="C38" s="36"/>
      <c r="D38" s="36"/>
    </row>
  </sheetData>
  <mergeCells count="14">
    <mergeCell ref="A1:D2"/>
    <mergeCell ref="A4:D4"/>
    <mergeCell ref="A14:D14"/>
    <mergeCell ref="A22:D2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2026-08-18T05:31:22Z</dcterms:created>
  <dc:creator>openpyxl</dc:creator>
  <dc:description/>
  <dc:language>en-US</dc:language>
  <cp:lastModifiedBy/>
  <dcterms:modified xsi:type="dcterms:W3CDTF">2026-08-18T05:31:22Z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