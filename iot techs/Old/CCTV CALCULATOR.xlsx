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 Vague\Desktop\"/>
    </mc:Choice>
  </mc:AlternateContent>
  <xr:revisionPtr revIDLastSave="0" documentId="8_{68A82C6F-72F9-4F38-886F-9A444DAF4679}" xr6:coauthVersionLast="47" xr6:coauthVersionMax="47" xr10:uidLastSave="{00000000-0000-0000-0000-000000000000}"/>
  <bookViews>
    <workbookView xWindow="28680" yWindow="-120" windowWidth="29040" windowHeight="15840" xr2:uid="{F6D0A64D-E7EE-4C29-BEA2-A6E933509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D9" i="1"/>
  <c r="D4" i="1"/>
  <c r="D5" i="1"/>
  <c r="D6" i="1"/>
  <c r="D7" i="1"/>
  <c r="D8" i="1"/>
  <c r="D3" i="1"/>
  <c r="D10" i="1" l="1"/>
  <c r="D16" i="1" s="1"/>
  <c r="D11" i="1" l="1"/>
  <c r="D17" i="1" s="1"/>
  <c r="D12" i="1"/>
  <c r="D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 Vague</author>
  </authors>
  <commentList>
    <comment ref="A3" authorId="0" shapeId="0" xr:uid="{13F6D36D-BC18-4088-B215-71F96C428FA0}">
      <text>
        <r>
          <rPr>
            <b/>
            <sz val="9"/>
            <color indexed="81"/>
            <rFont val="Tahoma"/>
            <family val="2"/>
          </rPr>
          <t>La Vague:</t>
        </r>
        <r>
          <rPr>
            <sz val="9"/>
            <color indexed="81"/>
            <rFont val="Tahoma"/>
            <family val="2"/>
          </rPr>
          <t xml:space="preserve">
Running, Managing, Splicing Cable
Mounting Junction &amp; Cameras</t>
        </r>
      </text>
    </comment>
    <comment ref="A4" authorId="0" shapeId="0" xr:uid="{EE99E20C-BEF6-44F1-965B-DF2CD8541DA9}">
      <text>
        <r>
          <rPr>
            <b/>
            <sz val="9"/>
            <color indexed="81"/>
            <rFont val="Tahoma"/>
            <family val="2"/>
          </rPr>
          <t>4K Audio &amp; Video
Ai Motion Detection
8x Zoom
EXIR</t>
        </r>
      </text>
    </comment>
    <comment ref="A5" authorId="0" shapeId="0" xr:uid="{17E06F5B-4495-41AD-A8BC-ECAE523D05AB}">
      <text>
        <r>
          <rPr>
            <sz val="9"/>
            <color indexed="81"/>
            <rFont val="Tahoma"/>
            <family val="2"/>
          </rPr>
          <t>Cat 6 Outdoor is 5x Faster than 5e.
Also a lot more durable.</t>
        </r>
      </text>
    </comment>
    <comment ref="A6" authorId="0" shapeId="0" xr:uid="{462B29A1-9A69-4B65-B8A7-53FA8B118CBC}">
      <text>
        <r>
          <rPr>
            <b/>
            <sz val="9"/>
            <color indexed="81"/>
            <rFont val="Tahoma"/>
            <family val="2"/>
          </rPr>
          <t>App Access
No Monthly Fees
Power to the Cameras
Records &amp; Stores Footage</t>
        </r>
      </text>
    </comment>
    <comment ref="A7" authorId="0" shapeId="0" xr:uid="{8AAEA497-F0B4-415B-B1E5-75042CEEEF07}">
      <text>
        <r>
          <rPr>
            <b/>
            <sz val="9"/>
            <color indexed="81"/>
            <rFont val="Tahoma"/>
            <family val="2"/>
          </rPr>
          <t>Surveillance Hard Drive. 
1Tb = 28 Days per camera</t>
        </r>
      </text>
    </comment>
    <comment ref="A8" authorId="0" shapeId="0" xr:uid="{405E3BF0-2553-4400-A7B3-B1C585CBF1F9}">
      <text/>
    </comment>
    <comment ref="A9" authorId="0" shapeId="0" xr:uid="{9334A8F9-0E6B-450F-BC55-FBA6B1E3116F}">
      <text>
        <r>
          <rPr>
            <b/>
            <sz val="9"/>
            <color indexed="81"/>
            <rFont val="Tahoma"/>
            <family val="2"/>
          </rPr>
          <t>Heavy Duty drilling. Brick|Metal This includes cable, and mounting anchors.</t>
        </r>
      </text>
    </comment>
    <comment ref="A10" authorId="0" shapeId="0" xr:uid="{099F7167-14C5-40A4-8A7B-5BB1ADAD0A62}">
      <text>
        <r>
          <rPr>
            <b/>
            <sz val="9"/>
            <color indexed="81"/>
            <rFont val="Tahoma"/>
            <family val="2"/>
          </rPr>
          <t>Everything Billed</t>
        </r>
      </text>
    </comment>
  </commentList>
</comments>
</file>

<file path=xl/sharedStrings.xml><?xml version="1.0" encoding="utf-8"?>
<sst xmlns="http://schemas.openxmlformats.org/spreadsheetml/2006/main" count="22" uniqueCount="16">
  <si>
    <t>CCTV Estimate</t>
  </si>
  <si>
    <t>Desc.</t>
  </si>
  <si>
    <t>Labor</t>
  </si>
  <si>
    <t>Camera</t>
  </si>
  <si>
    <t>NVR</t>
  </si>
  <si>
    <t>HDD</t>
  </si>
  <si>
    <t>Junction</t>
  </si>
  <si>
    <t>Cable</t>
  </si>
  <si>
    <t>Quantity</t>
  </si>
  <si>
    <t>Cost</t>
  </si>
  <si>
    <t>Total</t>
  </si>
  <si>
    <t>Full Price</t>
  </si>
  <si>
    <t>10% Discount</t>
  </si>
  <si>
    <t>25% Discount</t>
  </si>
  <si>
    <t>Masonry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</si>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</sst>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/>
    <xf numFmtId="10" fontId="0" fillId="0" borderId="0" xfId="0" applyNumberFormat="1"/>
    <xf numFmtId="44" fontId="0" fillId="0" borderId="0" xfId="1" applyFont="1"/>
    <xf numFmtId="44" fontId="0" fillId="0" borderId="0" xfId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906E-16EC-46BD-9252-17B7988CCA11}">
  <dimension ref="A1:F22"/>
  <sheetViews>
    <sheetView tabSelected="1" zoomScale="190" zoomScaleNormal="190" workbookViewId="0">
      <selection activeCell="C7" sqref="C7"/>
    </sheetView>
  </sheetViews>
  <sheetFormatPr defaultRowHeight="15" x14ac:dyDescent="0.25"/>
  <cols>
    <col min="1" max="1" width="33.5703125" customWidth="1"/>
    <col min="2" max="2" width="9" style="2" bestFit="1" customWidth="1"/>
    <col min="3" max="3" width="18.5703125" customWidth="1"/>
    <col min="4" max="5" width="29.7109375" customWidth="1"/>
  </cols>
  <sheetData>
    <row r="1" spans="1:6" ht="49.5" customHeigh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 s="2" t="s">
        <v>9</v>
      </c>
      <c r="C2" s="2" t="s">
        <v>8</v>
      </c>
      <c r="D2" t="s">
        <v>10</v>
      </c>
    </row>
    <row r="3" spans="1:6" x14ac:dyDescent="0.25">
      <c r="A3" t="s">
        <v>2</v>
      </c>
      <c r="B3" s="6">
        <v>100</v>
      </c>
      <c r="C3">
        <v>9</v>
      </c>
      <c r="D3" s="5">
        <f>B3*C3</f>
        <v>900</v>
      </c>
    </row>
    <row r="4" spans="1:6" x14ac:dyDescent="0.25">
      <c r="A4" t="s">
        <v>3</v>
      </c>
      <c r="B4" s="6">
        <v>100</v>
      </c>
      <c r="C4">
        <v>8</v>
      </c>
      <c r="D4" s="5">
        <f t="shared" ref="D4:D9" si="0">B4*C4</f>
        <v>800</v>
      </c>
    </row>
    <row r="5" spans="1:6" x14ac:dyDescent="0.25">
      <c r="A5" t="s">
        <v>7</v>
      </c>
      <c r="B5" s="6">
        <v>30</v>
      </c>
      <c r="C5">
        <v>8</v>
      </c>
      <c r="D5" s="5">
        <f t="shared" si="0"/>
        <v>240</v>
      </c>
    </row>
    <row r="6" spans="1:6" x14ac:dyDescent="0.25">
      <c r="A6" t="s">
        <v>4</v>
      </c>
      <c r="B6" s="6">
        <v>250</v>
      </c>
      <c r="C6">
        <v>1</v>
      </c>
      <c r="D6" s="5">
        <f t="shared" si="0"/>
        <v>250</v>
      </c>
    </row>
    <row r="7" spans="1:6" x14ac:dyDescent="0.25">
      <c r="A7" t="s">
        <v>5</v>
      </c>
      <c r="B7" s="6">
        <v>25</v>
      </c>
      <c r="C7">
        <v>8</v>
      </c>
      <c r="D7" s="5">
        <f t="shared" si="0"/>
        <v>200</v>
      </c>
    </row>
    <row r="8" spans="1:6" x14ac:dyDescent="0.25">
      <c r="A8" t="s">
        <v>6</v>
      </c>
      <c r="B8" s="6">
        <v>15</v>
      </c>
      <c r="C8">
        <v>8</v>
      </c>
      <c r="D8" s="5">
        <f t="shared" si="0"/>
        <v>120</v>
      </c>
    </row>
    <row r="9" spans="1:6" x14ac:dyDescent="0.25">
      <c r="A9" t="s">
        <v>14</v>
      </c>
      <c r="B9" s="6">
        <v>20</v>
      </c>
      <c r="C9">
        <v>0</v>
      </c>
      <c r="D9" s="5">
        <f t="shared" si="0"/>
        <v>0</v>
      </c>
    </row>
    <row r="10" spans="1:6" x14ac:dyDescent="0.25">
      <c r="A10" t="s">
        <v>11</v>
      </c>
      <c r="C10" s="3">
        <v>0.1</v>
      </c>
      <c r="D10" s="5">
        <f>SUM(D3:D9)</f>
        <v>2510</v>
      </c>
    </row>
    <row r="11" spans="1:6" x14ac:dyDescent="0.25">
      <c r="A11" t="s">
        <v>12</v>
      </c>
      <c r="C11" s="4">
        <v>0.08</v>
      </c>
      <c r="D11" s="5">
        <f>D10*0.9</f>
        <v>2259</v>
      </c>
    </row>
    <row r="12" spans="1:6" x14ac:dyDescent="0.25">
      <c r="A12" t="s">
        <v>13</v>
      </c>
      <c r="C12" s="3">
        <v>0.06</v>
      </c>
      <c r="D12" s="5">
        <f>D10*0.75</f>
        <v>1882.5</v>
      </c>
    </row>
    <row r="13" spans="1:6" x14ac:dyDescent="0.25">
      <c r="C13" s="3"/>
      <c r="D13" s="5"/>
    </row>
    <row r="14" spans="1:6" x14ac:dyDescent="0.25">
      <c r="C14" s="3"/>
      <c r="D14" s="5"/>
    </row>
    <row r="15" spans="1:6" x14ac:dyDescent="0.25">
      <c r="D15" s="5"/>
    </row>
    <row r="16" spans="1:6" x14ac:dyDescent="0.25">
      <c r="A16" t="s">
        <v>11</v>
      </c>
      <c r="C16" s="3">
        <v>0.1</v>
      </c>
      <c r="D16" s="5">
        <f>D10*0.1</f>
        <v>251</v>
      </c>
    </row>
    <row r="17" spans="1:5" x14ac:dyDescent="0.25">
      <c r="A17" t="s">
        <v>12</v>
      </c>
      <c r="C17" s="4">
        <v>0.08</v>
      </c>
      <c r="D17" s="5">
        <f>(D11*0.08)</f>
        <v>180.72</v>
      </c>
    </row>
    <row r="18" spans="1:5" x14ac:dyDescent="0.25">
      <c r="A18" t="s">
        <v>13</v>
      </c>
      <c r="C18" s="3">
        <v>0.06</v>
      </c>
      <c r="D18" s="5">
        <f>D12*0.06</f>
        <v>112.95</v>
      </c>
    </row>
    <row r="19" spans="1:5" x14ac:dyDescent="0.25">
      <c r="A19" t="s">
        <v>11</v>
      </c>
      <c r="C19" s="3">
        <v>0.1</v>
      </c>
      <c r="D19">
        <v>133</v>
      </c>
      <c r="E19">
        <f>D19/4</f>
        <v>33.25</v>
      </c>
    </row>
    <row r="20" spans="1:5" x14ac:dyDescent="0.25">
      <c r="A20" t="s">
        <v>12</v>
      </c>
      <c r="C20" s="3">
        <v>0.08</v>
      </c>
      <c r="D20">
        <v>95.76</v>
      </c>
      <c r="E20">
        <f>D20/4</f>
        <v>23.94</v>
      </c>
    </row>
    <row r="21" spans="1:5" x14ac:dyDescent="0.25">
      <c r="A21" t="s">
        <v>13</v>
      </c>
      <c r="C21" s="3">
        <v>0.06</v>
      </c>
      <c r="D21">
        <v>59.849999999999994</v>
      </c>
      <c r="E21">
        <f>D21/4</f>
        <v>14.962499999999999</v>
      </c>
    </row>
    <row r="22" spans="1:5" x14ac:dyDescent="0.25">
      <c r="E22" t="s">
        <v>15</v>
      </c>
    </row>
  </sheetData>
  <mergeCells count="1">
    <mergeCell ref="A1:F1"/>
  </mergeCells>
  <pageMargins left="0.7" right="0.7" top="0.75" bottom="0.75" header="0.3" footer="0.3"/>
  <pageSetup paperSize="184" orientation="portrait" horizontalDpi="203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Vague</dc:creator>
  <cp:lastModifiedBy>La Vague</cp:lastModifiedBy>
  <dcterms:created xsi:type="dcterms:W3CDTF">2023-07-21T02:56:57Z</dcterms:created>
  <dcterms:modified xsi:type="dcterms:W3CDTF">2023-07-25T00:17:25Z</dcterms:modified>
</cp:coreProperties>
</file>